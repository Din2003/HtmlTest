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lish" sheetId="1" r:id="rId4"/>
    <sheet state="visible" name="Filipino" sheetId="2" r:id="rId5"/>
  </sheets>
  <definedNames/>
  <calcPr/>
  <extLst>
    <ext uri="GoogleSheetsCustomDataVersion2">
      <go:sheetsCustomData xmlns:go="http://customooxmlschemas.google.com/" r:id="rId6" roundtripDataChecksum="X6YWffRaH53iLSLhPGVyVePPoAIEK8rIMTG9aselEaU="/>
    </ext>
  </extLst>
</workbook>
</file>

<file path=xl/sharedStrings.xml><?xml version="1.0" encoding="utf-8"?>
<sst xmlns="http://schemas.openxmlformats.org/spreadsheetml/2006/main" count="443" uniqueCount="93">
  <si>
    <t>Department of Education</t>
  </si>
  <si>
    <t>Division of Cagayan de Oro</t>
  </si>
  <si>
    <t>North II</t>
  </si>
  <si>
    <t>Bonbon National High School</t>
  </si>
  <si>
    <t xml:space="preserve">Reading Pretest Assessment Report </t>
  </si>
  <si>
    <t>Grade and Section</t>
  </si>
  <si>
    <t>SY 2026-2027</t>
  </si>
  <si>
    <t>English</t>
  </si>
  <si>
    <t>Filipino</t>
  </si>
  <si>
    <t>Name of Learners</t>
  </si>
  <si>
    <t>Date</t>
  </si>
  <si>
    <t>Time</t>
  </si>
  <si>
    <t>Modality to be used</t>
  </si>
  <si>
    <t>Name of person communicated with and to assist the learner</t>
  </si>
  <si>
    <t>Assessment Tool to be used</t>
  </si>
  <si>
    <t>Status of conduct: Completed, incomplete, reschedule, NO show etc.</t>
  </si>
  <si>
    <t>Reasons for Incomplete, Reschedule &amp; No show</t>
  </si>
  <si>
    <t>(Time Started- Time Ended of Assessment Proper)</t>
  </si>
  <si>
    <t>(as agreed)</t>
  </si>
  <si>
    <t>Post-test Results</t>
  </si>
  <si>
    <t>Oral</t>
  </si>
  <si>
    <t>Reading \Compre-</t>
  </si>
  <si>
    <t>Reading Compre-</t>
  </si>
  <si>
    <t>Reading Level</t>
  </si>
  <si>
    <t>hension</t>
  </si>
  <si>
    <t>Abarquez, Charlyn</t>
  </si>
  <si>
    <t>7:56- 7:57</t>
  </si>
  <si>
    <t>7:50 - 7:51</t>
  </si>
  <si>
    <t>Face to Face</t>
  </si>
  <si>
    <t>Class Adviser</t>
  </si>
  <si>
    <t>ASER TOOL</t>
  </si>
  <si>
    <t>Independent</t>
  </si>
  <si>
    <t>Frustration</t>
  </si>
  <si>
    <t>Instructional</t>
  </si>
  <si>
    <t>Complete</t>
  </si>
  <si>
    <t>Anota, John Carlo</t>
  </si>
  <si>
    <t>7:36 - 7:37</t>
  </si>
  <si>
    <t>7:30 - 7:31</t>
  </si>
  <si>
    <t>Apa, Jhon Kenneth</t>
  </si>
  <si>
    <t>7:43- 7:45</t>
  </si>
  <si>
    <t>Asas, Danilo Jr. T.</t>
  </si>
  <si>
    <t>7:40 - 7:41</t>
  </si>
  <si>
    <t>7:34 - 7:35</t>
  </si>
  <si>
    <t>Baal, John Calexter</t>
  </si>
  <si>
    <t>Balatero, Rizzavel</t>
  </si>
  <si>
    <t>7:36- 7:37</t>
  </si>
  <si>
    <t>Bangquiao, Romel M.</t>
  </si>
  <si>
    <t xml:space="preserve">7:43- 7:50 </t>
  </si>
  <si>
    <t>7:36 - 7:50</t>
  </si>
  <si>
    <t>Bensing, Arianne Pearl</t>
  </si>
  <si>
    <t>7:56 - 7:57</t>
  </si>
  <si>
    <t>7:30- 7:31</t>
  </si>
  <si>
    <t>Dela Cruz, Glaizil May</t>
  </si>
  <si>
    <t>7:39 - 7:40</t>
  </si>
  <si>
    <t>7:33 - 7:34</t>
  </si>
  <si>
    <t>Delos Santos, Drew Kelly</t>
  </si>
  <si>
    <t>Dormile, Jacob</t>
  </si>
  <si>
    <t>Flores, Niña</t>
  </si>
  <si>
    <t>Genraule, Mailyn</t>
  </si>
  <si>
    <t>Hiludo, Dave Elmer</t>
  </si>
  <si>
    <t>7:37 - 7:38</t>
  </si>
  <si>
    <t>7:31 - 7:32</t>
  </si>
  <si>
    <t>Jadap, Zaira Ethel</t>
  </si>
  <si>
    <t>Javerina, John Mark P.</t>
  </si>
  <si>
    <t>7:41 - 7:42</t>
  </si>
  <si>
    <t>7:35 - 7:36</t>
  </si>
  <si>
    <t>Labnao, Joemer</t>
  </si>
  <si>
    <t>Lagod,</t>
  </si>
  <si>
    <t>Lagod, John Mark N.</t>
  </si>
  <si>
    <t>Lluisma, Eulla Mae</t>
  </si>
  <si>
    <t xml:space="preserve">7:44- 7:45 </t>
  </si>
  <si>
    <t xml:space="preserve">Mata, Daniella </t>
  </si>
  <si>
    <t>7:50- 7:51</t>
  </si>
  <si>
    <t xml:space="preserve">7:44 - 7:45 </t>
  </si>
  <si>
    <t>Odchigue, Precious Hilary</t>
  </si>
  <si>
    <t>7:43 - 7:45</t>
  </si>
  <si>
    <t>Oguimas, Rainel D.</t>
  </si>
  <si>
    <t xml:space="preserve">7:55- 7:56 </t>
  </si>
  <si>
    <t xml:space="preserve">7:55 - 7:56 </t>
  </si>
  <si>
    <t>Ohiman, Kyll</t>
  </si>
  <si>
    <t>Solidor, Arvin John F.</t>
  </si>
  <si>
    <t>7:38 - 7:39</t>
  </si>
  <si>
    <t>7:32 - 7:33</t>
  </si>
  <si>
    <t>TOTAL</t>
  </si>
  <si>
    <t>Prepared:</t>
  </si>
  <si>
    <t xml:space="preserve">Checked and Verified: </t>
  </si>
  <si>
    <t>DIN SHANE DOMINIC A. MAGALLANES</t>
  </si>
  <si>
    <t>ANGELIKA O. LAGO</t>
  </si>
  <si>
    <t>READING COORDINATOR</t>
  </si>
  <si>
    <t>JOVANCE CLARK C. BABEDA</t>
  </si>
  <si>
    <t>Noted:</t>
  </si>
  <si>
    <t>CHRISTIAN GEM C. PIMENTEL</t>
  </si>
  <si>
    <t>SCHOOL HEAD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</si>
</sst>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2.0"/>
      <color theme="1"/>
      <name val="Aptos Narrow"/>
      <scheme val="minor"/>
    </font>
    <font>
      <sz val="12.0"/>
      <color theme="1"/>
      <name val="Aptos Narrow"/>
    </font>
    <font>
      <b/>
      <sz val="12.0"/>
      <color theme="1"/>
      <name val="Aptos Narrow"/>
    </font>
    <font/>
    <font>
      <b/>
      <sz val="10.0"/>
      <color rgb="FF000000"/>
      <name val="Bookman Old Style"/>
    </font>
    <font>
      <b/>
      <sz val="10.0"/>
      <color theme="1"/>
      <name val="Bookman Old Style"/>
    </font>
    <font>
      <sz val="12.0"/>
      <color rgb="FF000000"/>
      <name val="Bookman Old Style"/>
    </font>
    <font>
      <color theme="1"/>
      <name val="Arial"/>
    </font>
    <font>
      <sz val="10.0"/>
      <color theme="1"/>
      <name val="Bookman Old Style"/>
    </font>
    <font>
      <sz val="12.0"/>
      <color theme="1"/>
      <name val="Bookman Old Style"/>
    </font>
    <font>
      <b/>
      <sz val="11.0"/>
      <color theme="1"/>
      <name val="Arial"/>
    </font>
    <font>
      <sz val="11.0"/>
      <color theme="1"/>
      <name val="Calibri"/>
    </font>
    <font>
      <sz val="11.0"/>
      <color theme="1"/>
      <name val="Arial"/>
    </font>
    <font>
      <u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</fills>
  <borders count="22">
    <border/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2" fillId="2" fontId="4" numFmtId="0" xfId="0" applyAlignment="1" applyBorder="1" applyFill="1" applyFont="1">
      <alignment horizontal="center" shrinkToFit="0" vertical="center" wrapText="1"/>
    </xf>
    <xf borderId="3" fillId="2" fontId="4" numFmtId="0" xfId="0" applyAlignment="1" applyBorder="1" applyFill="1" applyFont="1">
      <alignment horizontal="center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2" fontId="4" numFmtId="0" xfId="0" applyAlignment="1" applyBorder="1" applyFill="1" applyFont="1">
      <alignment horizontal="center" shrinkToFit="0" vertical="center" wrapText="1"/>
    </xf>
    <xf borderId="9" fillId="2" fontId="5" numFmtId="0" xfId="0" applyAlignment="1" applyBorder="1" applyFill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borderId="8" fillId="2" fontId="1" numFmtId="0" xfId="0" applyAlignment="1" applyBorder="1" applyFill="1" applyFont="1">
      <alignment shrinkToFit="0" vertical="center" wrapText="1"/>
    </xf>
    <xf borderId="12" fillId="2" fontId="4" numFmtId="0" xfId="0" applyAlignment="1" applyBorder="1" applyFill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borderId="2" fillId="2" fontId="6" numFmtId="0" xfId="0" applyAlignment="1" applyBorder="1" applyFill="1" applyFont="1">
      <alignment horizontal="center" shrinkToFit="0" vertical="center" wrapText="1"/>
    </xf>
    <xf borderId="8" fillId="2" fontId="6" numFmtId="0" xfId="0" applyAlignment="1" applyBorder="1" applyFill="1" applyFont="1">
      <alignment horizontal="center" shrinkToFit="0" vertical="center" wrapText="1"/>
    </xf>
    <xf borderId="8" fillId="2" fontId="6" numFmtId="0" xfId="0" applyAlignment="1" applyBorder="1" applyFill="1" applyFont="1">
      <alignment horizontal="center" readingOrder="0" shrinkToFit="0" vertical="center" wrapText="1"/>
    </xf>
    <xf borderId="15" fillId="0" fontId="3" numFmtId="0" xfId="0" applyBorder="1" applyFont="1"/>
    <xf borderId="16" fillId="2" fontId="1" numFmtId="0" xfId="0" applyAlignment="1" applyBorder="1" applyFill="1" applyFont="1">
      <alignment shrinkToFit="0" vertical="center" wrapText="1"/>
    </xf>
    <xf borderId="16" fillId="2" fontId="6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readingOrder="0"/>
    </xf>
    <xf borderId="15" fillId="0" fontId="8" numFmtId="0" xfId="0" applyAlignment="1" applyBorder="1" applyFont="1">
      <alignment horizontal="left" shrinkToFit="0" vertical="center" wrapText="1"/>
    </xf>
    <xf borderId="17" fillId="0" fontId="8" numFmtId="164" xfId="0" applyAlignment="1" applyBorder="1" applyFont="1" applyNumberFormat="1">
      <alignment horizontal="center" readingOrder="0" shrinkToFit="0" vertical="center" wrapText="1"/>
    </xf>
    <xf borderId="17" fillId="0" fontId="9" numFmtId="0" xfId="0" applyAlignment="1" applyBorder="1" applyFont="1">
      <alignment horizontal="center" readingOrder="0" shrinkToFit="0" vertical="center" wrapText="1"/>
    </xf>
    <xf borderId="17" fillId="0" fontId="9" numFmtId="0" xfId="0" applyAlignment="1" applyBorder="1" applyFont="1">
      <alignment horizontal="center" readingOrder="0" shrinkToFit="0" wrapText="1"/>
    </xf>
    <xf borderId="17" fillId="0" fontId="9" numFmtId="0" xfId="0" applyAlignment="1" applyBorder="1" applyFont="1">
      <alignment horizontal="center" shrinkToFit="0" vertical="center" wrapText="1"/>
    </xf>
    <xf borderId="17" fillId="0" fontId="5" numFmtId="0" xfId="0" applyAlignment="1" applyBorder="1" applyFont="1">
      <alignment horizontal="center" shrinkToFit="0" vertical="center" wrapText="1"/>
    </xf>
    <xf borderId="15" fillId="0" fontId="8" numFmtId="0" xfId="0" applyAlignment="1" applyBorder="1" applyFont="1">
      <alignment horizontal="left" readingOrder="0" shrinkToFit="0" vertical="center" wrapText="1"/>
    </xf>
    <xf borderId="15" fillId="0" fontId="8" numFmtId="0" xfId="0" applyAlignment="1" applyBorder="1" applyFont="1">
      <alignment shrinkToFit="0" vertical="center" wrapText="1"/>
    </xf>
    <xf borderId="15" fillId="0" fontId="9" numFmtId="0" xfId="0" applyAlignment="1" applyBorder="1" applyFont="1">
      <alignment horizontal="left" readingOrder="0" shrinkToFit="0" vertical="center" wrapText="1"/>
    </xf>
    <xf borderId="17" fillId="0" fontId="9" numFmtId="0" xfId="0" applyAlignment="1" applyBorder="1" applyFont="1">
      <alignment horizontal="left" shrinkToFit="0" vertical="center" wrapText="1"/>
    </xf>
    <xf borderId="15" fillId="0" fontId="9" numFmtId="0" xfId="0" applyAlignment="1" applyBorder="1" applyFont="1">
      <alignment horizontal="left" shrinkToFit="0" vertical="center" wrapText="1"/>
    </xf>
    <xf borderId="18" fillId="0" fontId="9" numFmtId="0" xfId="0" applyAlignment="1" applyBorder="1" applyFont="1">
      <alignment horizontal="center" shrinkToFit="0" vertical="center" wrapText="1"/>
    </xf>
    <xf borderId="19" fillId="0" fontId="3" numFmtId="0" xfId="0" applyBorder="1" applyFont="1"/>
    <xf borderId="20" fillId="0" fontId="3" numFmtId="0" xfId="0" applyBorder="1" applyFont="1"/>
    <xf borderId="0" fillId="0" fontId="10" numFmtId="0" xfId="0" applyAlignment="1" applyFont="1">
      <alignment vertical="bottom"/>
    </xf>
    <xf borderId="0" fillId="0" fontId="11" numFmtId="0" xfId="0" applyFont="1"/>
    <xf borderId="0" fillId="0" fontId="12" numFmtId="0" xfId="0" applyAlignment="1" applyFont="1">
      <alignment horizontal="right" vertical="bottom"/>
    </xf>
    <xf borderId="21" fillId="0" fontId="12" numFmtId="0" xfId="0" applyAlignment="1" applyBorder="1" applyFont="1">
      <alignment horizontal="center" vertical="bottom"/>
    </xf>
    <xf borderId="21" fillId="0" fontId="3" numFmtId="0" xfId="0" applyBorder="1" applyFont="1"/>
    <xf borderId="0" fillId="0" fontId="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12" numFmtId="0" xfId="0" applyAlignment="1" applyFont="1">
      <alignment horizontal="center" vertical="bottom"/>
    </xf>
    <xf borderId="0" fillId="0" fontId="10" numFmtId="0" xfId="0" applyAlignment="1" applyFont="1">
      <alignment horizontal="center" vertical="bottom"/>
    </xf>
    <xf borderId="0" fillId="0" fontId="1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1133475</xdr:colOff>
      <xdr:row>0</xdr:row>
      <xdr:rowOff>123825</xdr:rowOff>
    </xdr:from>
    <xdr:ext cx="857250" cy="723900"/>
    <xdr:pic>
      <xdr:nvPicPr>
        <xdr:cNvPr descr="cdo logo Image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0</xdr:row>
      <xdr:rowOff>114300</xdr:rowOff>
    </xdr:from>
    <xdr:ext cx="676275" cy="676275"/>
    <xdr:pic>
      <xdr:nvPicPr>
        <xdr:cNvPr descr="Logo&#10;&#10;Description automatically generated with medium confidence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1133475</xdr:colOff>
      <xdr:row>0</xdr:row>
      <xdr:rowOff>123825</xdr:rowOff>
    </xdr:from>
    <xdr:ext cx="857250" cy="723900"/>
    <xdr:pic>
      <xdr:nvPicPr>
        <xdr:cNvPr descr="cdo logo Image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0</xdr:row>
      <xdr:rowOff>114300</xdr:rowOff>
    </xdr:from>
    <xdr:ext cx="676275" cy="676275"/>
    <xdr:pic>
      <xdr:nvPicPr>
        <xdr:cNvPr descr="Logo&#10;&#10;Description automatically generated with medium confidence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2.44"/>
    <col customWidth="1" min="3" max="3" width="16.0"/>
    <col customWidth="1" min="4" max="4" width="21.78"/>
    <col customWidth="1" min="5" max="5" width="16.67"/>
    <col customWidth="1" min="6" max="6" width="24.11"/>
    <col customWidth="1" min="7" max="7" width="15.78"/>
    <col customWidth="1" min="8" max="8" width="17.78"/>
    <col customWidth="1" min="9" max="9" width="17.44"/>
    <col customWidth="1" min="10" max="10" width="17.67"/>
    <col customWidth="1" min="11" max="11" width="13.11"/>
    <col customWidth="1" min="12" max="12" width="19.78"/>
    <col customWidth="1" min="13" max="26" width="10.56"/>
  </cols>
  <sheetData>
    <row r="1" ht="15.75" customHeight="1">
      <c r="B1" s="1" t="s">
        <v>0</v>
      </c>
    </row>
    <row r="2" ht="15.75" customHeight="1">
      <c r="B2" s="1" t="s">
        <v>1</v>
      </c>
    </row>
    <row r="3" ht="15.75" customHeight="1">
      <c r="B3" s="1" t="s">
        <v>2</v>
      </c>
    </row>
    <row r="4" ht="15.75" customHeight="1">
      <c r="B4" s="1" t="s">
        <v>3</v>
      </c>
    </row>
    <row r="5" ht="15.75" customHeight="1">
      <c r="B5" s="1"/>
    </row>
    <row r="6" ht="15.75" customHeight="1">
      <c r="B6" s="1" t="s">
        <v>4</v>
      </c>
    </row>
    <row r="7" ht="15.75" customHeight="1">
      <c r="B7" s="2" t="s">
        <v>5</v>
      </c>
    </row>
    <row r="8" ht="15.75" customHeight="1">
      <c r="B8" s="1" t="s">
        <v>6</v>
      </c>
    </row>
    <row r="9" ht="15.75" customHeight="1">
      <c r="B9" s="3" t="s">
        <v>7</v>
      </c>
      <c r="C9" s="4"/>
      <c r="D9" s="4"/>
      <c r="E9" s="4"/>
      <c r="F9" s="4"/>
      <c r="G9" s="4"/>
      <c r="H9" s="4"/>
      <c r="I9" s="4"/>
      <c r="J9" s="4"/>
      <c r="K9" s="4"/>
      <c r="L9" s="4"/>
    </row>
    <row r="10" ht="15.75" customHeight="1">
      <c r="B10" s="5" t="s">
        <v>9</v>
      </c>
      <c r="C10" s="5" t="s">
        <v>10</v>
      </c>
      <c r="D10" s="6" t="s">
        <v>11</v>
      </c>
      <c r="E10" s="6" t="s">
        <v>12</v>
      </c>
      <c r="F10" s="5" t="s">
        <v>13</v>
      </c>
      <c r="G10" s="5" t="s">
        <v>14</v>
      </c>
      <c r="H10" s="7"/>
      <c r="I10" s="8"/>
      <c r="J10" s="9"/>
      <c r="K10" s="5" t="s">
        <v>15</v>
      </c>
      <c r="L10" s="5" t="s">
        <v>16</v>
      </c>
    </row>
    <row r="11" ht="15.75" customHeight="1">
      <c r="B11" s="10"/>
      <c r="C11" s="10"/>
      <c r="D11" s="11" t="s">
        <v>17</v>
      </c>
      <c r="E11" s="11" t="s">
        <v>18</v>
      </c>
      <c r="F11" s="10"/>
      <c r="G11" s="10"/>
      <c r="H11" s="12"/>
      <c r="I11" s="13"/>
      <c r="J11" s="14"/>
      <c r="K11" s="10"/>
      <c r="L11" s="10"/>
    </row>
    <row r="12" ht="15.75" customHeight="1">
      <c r="B12" s="10"/>
      <c r="C12" s="10"/>
      <c r="D12" s="15"/>
      <c r="E12" s="15"/>
      <c r="F12" s="10"/>
      <c r="G12" s="10"/>
      <c r="H12" s="16" t="s">
        <v>19</v>
      </c>
      <c r="I12" s="17"/>
      <c r="J12" s="18"/>
      <c r="K12" s="10"/>
      <c r="L12" s="10"/>
    </row>
    <row r="13" ht="15.75" customHeight="1">
      <c r="B13" s="10"/>
      <c r="C13" s="10"/>
      <c r="D13" s="15"/>
      <c r="E13" s="15"/>
      <c r="F13" s="10"/>
      <c r="G13" s="10"/>
      <c r="H13" s="19" t="s">
        <v>20</v>
      </c>
      <c r="I13" s="20" t="s">
        <v>22</v>
      </c>
      <c r="J13" s="19" t="s">
        <v>23</v>
      </c>
      <c r="K13" s="10"/>
      <c r="L13" s="10"/>
    </row>
    <row r="14" ht="15.75" customHeight="1">
      <c r="B14" s="22"/>
      <c r="C14" s="22"/>
      <c r="D14" s="23"/>
      <c r="E14" s="23"/>
      <c r="F14" s="22"/>
      <c r="G14" s="22"/>
      <c r="H14" s="22"/>
      <c r="I14" s="24" t="s">
        <v>24</v>
      </c>
      <c r="J14" s="22"/>
      <c r="K14" s="22"/>
      <c r="L14" s="22"/>
    </row>
    <row r="15" ht="15.75" customHeight="1">
      <c r="A15" s="25"/>
      <c r="B15" s="26" t="s">
        <v>25</v>
      </c>
      <c r="C15" s="27">
        <v>46309.0</v>
      </c>
      <c r="D15" s="28" t="s">
        <v>27</v>
      </c>
      <c r="E15" s="28" t="s">
        <v>28</v>
      </c>
      <c r="F15" s="29" t="s">
        <v>29</v>
      </c>
      <c r="G15" s="30" t="s">
        <v>30</v>
      </c>
      <c r="H15" s="30" t="s">
        <v>31</v>
      </c>
      <c r="I15" s="28" t="s">
        <v>33</v>
      </c>
      <c r="J15" s="30" t="str">
        <f t="shared" ref="J15:J40" si="1">IF(COUNTIF(H15:I15,"&lt;&gt;")=0,"",
IF(COUNTIF(H15:I15,"Frustration")&gt;0,"Frustration",
IF(COUNTIF(H15:I15,"Instructional")&gt;0,"Instructional",
"Independent")))</f>
        <v>Instructional</v>
      </c>
      <c r="K15" s="28" t="s">
        <v>34</v>
      </c>
      <c r="L15" s="31"/>
    </row>
    <row r="16" ht="15.75" customHeight="1">
      <c r="A16" s="25"/>
      <c r="B16" s="32" t="s">
        <v>35</v>
      </c>
      <c r="C16" s="27">
        <v>46311.0</v>
      </c>
      <c r="D16" s="28" t="s">
        <v>37</v>
      </c>
      <c r="E16" s="28" t="s">
        <v>28</v>
      </c>
      <c r="F16" s="29" t="s">
        <v>29</v>
      </c>
      <c r="G16" s="30" t="s">
        <v>30</v>
      </c>
      <c r="H16" s="30" t="s">
        <v>31</v>
      </c>
      <c r="I16" s="28" t="s">
        <v>33</v>
      </c>
      <c r="J16" s="30" t="str">
        <f t="shared" si="1"/>
        <v>Instructional</v>
      </c>
      <c r="K16" s="28" t="s">
        <v>34</v>
      </c>
      <c r="L16" s="31"/>
    </row>
    <row r="17" ht="15.75" customHeight="1">
      <c r="A17" s="25"/>
      <c r="B17" s="26" t="s">
        <v>38</v>
      </c>
      <c r="C17" s="27">
        <v>46307.0</v>
      </c>
      <c r="D17" s="28" t="s">
        <v>36</v>
      </c>
      <c r="E17" s="28" t="s">
        <v>28</v>
      </c>
      <c r="F17" s="29" t="s">
        <v>29</v>
      </c>
      <c r="G17" s="30" t="s">
        <v>30</v>
      </c>
      <c r="H17" s="30" t="s">
        <v>31</v>
      </c>
      <c r="I17" s="30" t="s">
        <v>32</v>
      </c>
      <c r="J17" s="30" t="str">
        <f t="shared" si="1"/>
        <v>Frustration</v>
      </c>
      <c r="K17" s="28" t="s">
        <v>34</v>
      </c>
      <c r="L17" s="31"/>
    </row>
    <row r="18" ht="15.75" customHeight="1">
      <c r="A18" s="25"/>
      <c r="B18" s="32" t="s">
        <v>40</v>
      </c>
      <c r="C18" s="27">
        <v>46311.0</v>
      </c>
      <c r="D18" s="28" t="s">
        <v>42</v>
      </c>
      <c r="E18" s="28" t="s">
        <v>28</v>
      </c>
      <c r="F18" s="29" t="s">
        <v>29</v>
      </c>
      <c r="G18" s="30" t="s">
        <v>30</v>
      </c>
      <c r="H18" s="30" t="s">
        <v>31</v>
      </c>
      <c r="I18" s="28" t="s">
        <v>33</v>
      </c>
      <c r="J18" s="30" t="str">
        <f t="shared" si="1"/>
        <v>Instructional</v>
      </c>
      <c r="K18" s="28" t="s">
        <v>34</v>
      </c>
      <c r="L18" s="31"/>
    </row>
    <row r="19" ht="15.75" customHeight="1">
      <c r="A19" s="25"/>
      <c r="B19" s="26" t="s">
        <v>43</v>
      </c>
      <c r="C19" s="27">
        <v>46309.0</v>
      </c>
      <c r="D19" s="28" t="s">
        <v>36</v>
      </c>
      <c r="E19" s="28" t="s">
        <v>28</v>
      </c>
      <c r="F19" s="29" t="s">
        <v>29</v>
      </c>
      <c r="G19" s="30" t="s">
        <v>30</v>
      </c>
      <c r="H19" s="30" t="s">
        <v>31</v>
      </c>
      <c r="I19" s="28" t="s">
        <v>31</v>
      </c>
      <c r="J19" s="30" t="str">
        <f t="shared" si="1"/>
        <v>Independent</v>
      </c>
      <c r="K19" s="28" t="s">
        <v>34</v>
      </c>
      <c r="L19" s="31"/>
    </row>
    <row r="20" ht="15.75" customHeight="1">
      <c r="A20" s="25"/>
      <c r="B20" s="26" t="s">
        <v>44</v>
      </c>
      <c r="C20" s="27">
        <v>46307.0</v>
      </c>
      <c r="D20" s="28" t="s">
        <v>37</v>
      </c>
      <c r="E20" s="28" t="s">
        <v>28</v>
      </c>
      <c r="F20" s="29" t="s">
        <v>29</v>
      </c>
      <c r="G20" s="30" t="s">
        <v>30</v>
      </c>
      <c r="H20" s="30" t="s">
        <v>31</v>
      </c>
      <c r="I20" s="30" t="s">
        <v>33</v>
      </c>
      <c r="J20" s="30" t="str">
        <f t="shared" si="1"/>
        <v>Instructional</v>
      </c>
      <c r="K20" s="28" t="s">
        <v>34</v>
      </c>
      <c r="L20" s="31"/>
    </row>
    <row r="21" ht="15.75" customHeight="1">
      <c r="A21" s="25"/>
      <c r="B21" s="32" t="s">
        <v>46</v>
      </c>
      <c r="C21" s="27">
        <v>46310.0</v>
      </c>
      <c r="D21" s="28" t="s">
        <v>48</v>
      </c>
      <c r="E21" s="28" t="s">
        <v>28</v>
      </c>
      <c r="F21" s="29" t="s">
        <v>29</v>
      </c>
      <c r="G21" s="28" t="s">
        <v>30</v>
      </c>
      <c r="H21" s="28" t="s">
        <v>32</v>
      </c>
      <c r="I21" s="28" t="s">
        <v>32</v>
      </c>
      <c r="J21" s="30" t="str">
        <f t="shared" si="1"/>
        <v>Frustration</v>
      </c>
      <c r="K21" s="28" t="s">
        <v>34</v>
      </c>
      <c r="L21" s="31"/>
    </row>
    <row r="22" ht="15.75" customHeight="1">
      <c r="A22" s="25"/>
      <c r="B22" s="33" t="s">
        <v>49</v>
      </c>
      <c r="C22" s="27">
        <v>46308.0</v>
      </c>
      <c r="D22" s="28" t="s">
        <v>50</v>
      </c>
      <c r="E22" s="28" t="s">
        <v>28</v>
      </c>
      <c r="F22" s="29" t="s">
        <v>29</v>
      </c>
      <c r="G22" s="30" t="s">
        <v>30</v>
      </c>
      <c r="H22" s="30" t="s">
        <v>31</v>
      </c>
      <c r="I22" s="30" t="s">
        <v>33</v>
      </c>
      <c r="J22" s="30" t="str">
        <f t="shared" si="1"/>
        <v>Instructional</v>
      </c>
      <c r="K22" s="28" t="s">
        <v>34</v>
      </c>
      <c r="L22" s="31"/>
    </row>
    <row r="23" ht="15.75" customHeight="1">
      <c r="A23" s="25"/>
      <c r="B23" s="32" t="s">
        <v>52</v>
      </c>
      <c r="C23" s="27">
        <v>46311.0</v>
      </c>
      <c r="D23" s="28" t="s">
        <v>54</v>
      </c>
      <c r="E23" s="28" t="s">
        <v>28</v>
      </c>
      <c r="F23" s="29" t="s">
        <v>29</v>
      </c>
      <c r="G23" s="30" t="s">
        <v>30</v>
      </c>
      <c r="H23" s="30" t="s">
        <v>31</v>
      </c>
      <c r="I23" s="28" t="s">
        <v>31</v>
      </c>
      <c r="J23" s="30" t="str">
        <f t="shared" si="1"/>
        <v>Independent</v>
      </c>
      <c r="K23" s="28" t="s">
        <v>34</v>
      </c>
      <c r="L23" s="31"/>
    </row>
    <row r="24" ht="15.75" customHeight="1">
      <c r="A24" s="25"/>
      <c r="B24" s="26" t="s">
        <v>55</v>
      </c>
      <c r="C24" s="27">
        <v>46309.0</v>
      </c>
      <c r="D24" s="28" t="s">
        <v>37</v>
      </c>
      <c r="E24" s="28" t="s">
        <v>28</v>
      </c>
      <c r="F24" s="29" t="s">
        <v>29</v>
      </c>
      <c r="G24" s="30" t="s">
        <v>30</v>
      </c>
      <c r="H24" s="30" t="s">
        <v>31</v>
      </c>
      <c r="I24" s="28" t="s">
        <v>33</v>
      </c>
      <c r="J24" s="30" t="str">
        <f t="shared" si="1"/>
        <v>Instructional</v>
      </c>
      <c r="K24" s="28" t="s">
        <v>34</v>
      </c>
      <c r="L24" s="31"/>
    </row>
    <row r="25" ht="15.75" customHeight="1">
      <c r="A25" s="25"/>
      <c r="B25" s="33" t="s">
        <v>56</v>
      </c>
      <c r="C25" s="27">
        <v>46308.0</v>
      </c>
      <c r="D25" s="28" t="s">
        <v>27</v>
      </c>
      <c r="E25" s="28" t="s">
        <v>28</v>
      </c>
      <c r="F25" s="29" t="s">
        <v>29</v>
      </c>
      <c r="G25" s="30" t="s">
        <v>30</v>
      </c>
      <c r="H25" s="30" t="s">
        <v>31</v>
      </c>
      <c r="I25" s="30" t="s">
        <v>33</v>
      </c>
      <c r="J25" s="30" t="str">
        <f t="shared" si="1"/>
        <v>Instructional</v>
      </c>
      <c r="K25" s="28" t="s">
        <v>34</v>
      </c>
      <c r="L25" s="31"/>
    </row>
    <row r="26" ht="15.75" customHeight="1">
      <c r="A26" s="25"/>
      <c r="B26" s="33" t="s">
        <v>57</v>
      </c>
      <c r="C26" s="27">
        <v>46308.0</v>
      </c>
      <c r="D26" s="28" t="s">
        <v>51</v>
      </c>
      <c r="E26" s="28" t="s">
        <v>28</v>
      </c>
      <c r="F26" s="29" t="s">
        <v>29</v>
      </c>
      <c r="G26" s="30" t="s">
        <v>30</v>
      </c>
      <c r="H26" s="30" t="s">
        <v>31</v>
      </c>
      <c r="I26" s="30" t="s">
        <v>33</v>
      </c>
      <c r="J26" s="30" t="str">
        <f t="shared" si="1"/>
        <v>Instructional</v>
      </c>
      <c r="K26" s="28" t="s">
        <v>34</v>
      </c>
      <c r="L26" s="31"/>
    </row>
    <row r="27" ht="15.75" customHeight="1">
      <c r="A27" s="25"/>
      <c r="B27" s="26" t="s">
        <v>58</v>
      </c>
      <c r="C27" s="27">
        <v>46310.0</v>
      </c>
      <c r="D27" s="28" t="s">
        <v>37</v>
      </c>
      <c r="E27" s="28" t="s">
        <v>28</v>
      </c>
      <c r="F27" s="29" t="s">
        <v>29</v>
      </c>
      <c r="G27" s="30" t="s">
        <v>30</v>
      </c>
      <c r="H27" s="30" t="s">
        <v>31</v>
      </c>
      <c r="I27" s="28" t="s">
        <v>33</v>
      </c>
      <c r="J27" s="30" t="str">
        <f t="shared" si="1"/>
        <v>Instructional</v>
      </c>
      <c r="K27" s="28" t="s">
        <v>34</v>
      </c>
      <c r="L27" s="31"/>
    </row>
    <row r="28" ht="15.75" customHeight="1">
      <c r="A28" s="25"/>
      <c r="B28" s="32" t="s">
        <v>59</v>
      </c>
      <c r="C28" s="27">
        <v>46311.0</v>
      </c>
      <c r="D28" s="28" t="s">
        <v>61</v>
      </c>
      <c r="E28" s="28" t="s">
        <v>28</v>
      </c>
      <c r="F28" s="29" t="s">
        <v>29</v>
      </c>
      <c r="G28" s="30" t="s">
        <v>30</v>
      </c>
      <c r="H28" s="30" t="s">
        <v>31</v>
      </c>
      <c r="I28" s="28" t="s">
        <v>33</v>
      </c>
      <c r="J28" s="30" t="str">
        <f t="shared" si="1"/>
        <v>Instructional</v>
      </c>
      <c r="K28" s="28" t="s">
        <v>34</v>
      </c>
      <c r="L28" s="31"/>
    </row>
    <row r="29" ht="15.75" customHeight="1">
      <c r="A29" s="25"/>
      <c r="B29" s="26" t="s">
        <v>62</v>
      </c>
      <c r="C29" s="27">
        <v>46309.0</v>
      </c>
      <c r="D29" s="28" t="s">
        <v>50</v>
      </c>
      <c r="E29" s="28" t="s">
        <v>28</v>
      </c>
      <c r="F29" s="29" t="s">
        <v>29</v>
      </c>
      <c r="G29" s="30" t="s">
        <v>30</v>
      </c>
      <c r="H29" s="30" t="s">
        <v>31</v>
      </c>
      <c r="I29" s="28" t="s">
        <v>32</v>
      </c>
      <c r="J29" s="30" t="str">
        <f t="shared" si="1"/>
        <v>Frustration</v>
      </c>
      <c r="K29" s="28" t="s">
        <v>34</v>
      </c>
      <c r="L29" s="31"/>
    </row>
    <row r="30" ht="15.75" customHeight="1">
      <c r="A30" s="25"/>
      <c r="B30" s="34" t="s">
        <v>63</v>
      </c>
      <c r="C30" s="27">
        <v>46311.0</v>
      </c>
      <c r="D30" s="28" t="s">
        <v>65</v>
      </c>
      <c r="E30" s="28" t="s">
        <v>28</v>
      </c>
      <c r="F30" s="29" t="s">
        <v>29</v>
      </c>
      <c r="G30" s="30" t="s">
        <v>30</v>
      </c>
      <c r="H30" s="30" t="s">
        <v>31</v>
      </c>
      <c r="I30" s="28" t="s">
        <v>31</v>
      </c>
      <c r="J30" s="30" t="str">
        <f t="shared" si="1"/>
        <v>Independent</v>
      </c>
      <c r="K30" s="28" t="s">
        <v>34</v>
      </c>
      <c r="L30" s="31"/>
    </row>
    <row r="31" ht="15.75" customHeight="1">
      <c r="A31" s="25"/>
      <c r="B31" s="26" t="s">
        <v>66</v>
      </c>
      <c r="C31" s="27">
        <v>46307.0</v>
      </c>
      <c r="D31" s="28" t="s">
        <v>27</v>
      </c>
      <c r="E31" s="28" t="s">
        <v>28</v>
      </c>
      <c r="F31" s="29" t="s">
        <v>29</v>
      </c>
      <c r="G31" s="30" t="s">
        <v>30</v>
      </c>
      <c r="H31" s="30" t="s">
        <v>31</v>
      </c>
      <c r="I31" s="30" t="s">
        <v>33</v>
      </c>
      <c r="J31" s="30" t="str">
        <f t="shared" si="1"/>
        <v>Instructional</v>
      </c>
      <c r="K31" s="28" t="s">
        <v>34</v>
      </c>
      <c r="L31" s="31"/>
    </row>
    <row r="32" ht="15.75" customHeight="1">
      <c r="A32" s="25"/>
      <c r="B32" s="32" t="s">
        <v>68</v>
      </c>
      <c r="C32" s="27">
        <v>46307.0</v>
      </c>
      <c r="D32" s="28" t="s">
        <v>50</v>
      </c>
      <c r="E32" s="28" t="s">
        <v>28</v>
      </c>
      <c r="F32" s="29" t="s">
        <v>29</v>
      </c>
      <c r="G32" s="30" t="s">
        <v>30</v>
      </c>
      <c r="H32" s="30" t="s">
        <v>31</v>
      </c>
      <c r="I32" s="30" t="s">
        <v>33</v>
      </c>
      <c r="J32" s="30" t="str">
        <f t="shared" si="1"/>
        <v>Instructional</v>
      </c>
      <c r="K32" s="28" t="s">
        <v>34</v>
      </c>
      <c r="L32" s="35"/>
    </row>
    <row r="33" ht="15.75" customHeight="1">
      <c r="B33" s="33" t="s">
        <v>69</v>
      </c>
      <c r="C33" s="27">
        <v>46308.0</v>
      </c>
      <c r="D33" s="28" t="s">
        <v>36</v>
      </c>
      <c r="E33" s="28" t="s">
        <v>28</v>
      </c>
      <c r="F33" s="29" t="s">
        <v>29</v>
      </c>
      <c r="G33" s="30" t="s">
        <v>30</v>
      </c>
      <c r="H33" s="30" t="s">
        <v>31</v>
      </c>
      <c r="I33" s="30" t="s">
        <v>33</v>
      </c>
      <c r="J33" s="30" t="str">
        <f t="shared" si="1"/>
        <v>Instructional</v>
      </c>
      <c r="K33" s="28" t="s">
        <v>34</v>
      </c>
      <c r="L33" s="35"/>
    </row>
    <row r="34" ht="15.75" customHeight="1">
      <c r="B34" s="33" t="s">
        <v>71</v>
      </c>
      <c r="C34" s="27">
        <v>46308.0</v>
      </c>
      <c r="D34" s="28" t="s">
        <v>73</v>
      </c>
      <c r="E34" s="28" t="s">
        <v>28</v>
      </c>
      <c r="F34" s="29" t="s">
        <v>29</v>
      </c>
      <c r="G34" s="30" t="s">
        <v>30</v>
      </c>
      <c r="H34" s="30" t="s">
        <v>31</v>
      </c>
      <c r="I34" s="30" t="s">
        <v>33</v>
      </c>
      <c r="J34" s="30" t="str">
        <f t="shared" si="1"/>
        <v>Instructional</v>
      </c>
      <c r="K34" s="28" t="s">
        <v>34</v>
      </c>
      <c r="L34" s="35"/>
    </row>
    <row r="35" ht="15.75" customHeight="1">
      <c r="B35" s="26" t="s">
        <v>74</v>
      </c>
      <c r="C35" s="27">
        <v>46309.0</v>
      </c>
      <c r="D35" s="28" t="s">
        <v>75</v>
      </c>
      <c r="E35" s="28" t="s">
        <v>28</v>
      </c>
      <c r="F35" s="29" t="s">
        <v>29</v>
      </c>
      <c r="G35" s="30" t="s">
        <v>30</v>
      </c>
      <c r="H35" s="30" t="s">
        <v>31</v>
      </c>
      <c r="I35" s="28" t="s">
        <v>33</v>
      </c>
      <c r="J35" s="30" t="str">
        <f t="shared" si="1"/>
        <v>Instructional</v>
      </c>
      <c r="K35" s="28" t="s">
        <v>34</v>
      </c>
      <c r="L35" s="35"/>
    </row>
    <row r="36" ht="15.75" customHeight="1">
      <c r="B36" s="32" t="s">
        <v>76</v>
      </c>
      <c r="C36" s="27">
        <v>46310.0</v>
      </c>
      <c r="D36" s="28" t="s">
        <v>78</v>
      </c>
      <c r="E36" s="28" t="s">
        <v>28</v>
      </c>
      <c r="F36" s="29" t="s">
        <v>29</v>
      </c>
      <c r="G36" s="28" t="s">
        <v>30</v>
      </c>
      <c r="H36" s="28" t="s">
        <v>31</v>
      </c>
      <c r="I36" s="28" t="s">
        <v>33</v>
      </c>
      <c r="J36" s="30" t="str">
        <f t="shared" si="1"/>
        <v>Instructional</v>
      </c>
      <c r="K36" s="28" t="s">
        <v>34</v>
      </c>
      <c r="L36" s="35"/>
    </row>
    <row r="37" ht="15.75" customHeight="1">
      <c r="B37" s="26" t="s">
        <v>79</v>
      </c>
      <c r="C37" s="27">
        <v>46307.0</v>
      </c>
      <c r="D37" s="28" t="s">
        <v>75</v>
      </c>
      <c r="E37" s="28" t="s">
        <v>28</v>
      </c>
      <c r="F37" s="29" t="s">
        <v>29</v>
      </c>
      <c r="G37" s="30" t="s">
        <v>30</v>
      </c>
      <c r="H37" s="30" t="s">
        <v>31</v>
      </c>
      <c r="I37" s="30" t="s">
        <v>32</v>
      </c>
      <c r="J37" s="30" t="str">
        <f t="shared" si="1"/>
        <v>Frustration</v>
      </c>
      <c r="K37" s="28" t="s">
        <v>34</v>
      </c>
      <c r="L37" s="35"/>
    </row>
    <row r="38" ht="15.75" customHeight="1">
      <c r="B38" s="32" t="s">
        <v>80</v>
      </c>
      <c r="C38" s="27">
        <v>46311.0</v>
      </c>
      <c r="D38" s="28" t="s">
        <v>82</v>
      </c>
      <c r="E38" s="28" t="s">
        <v>28</v>
      </c>
      <c r="F38" s="29" t="s">
        <v>29</v>
      </c>
      <c r="G38" s="30" t="s">
        <v>30</v>
      </c>
      <c r="H38" s="30" t="s">
        <v>31</v>
      </c>
      <c r="I38" s="28" t="s">
        <v>31</v>
      </c>
      <c r="J38" s="30" t="str">
        <f t="shared" si="1"/>
        <v>Independent</v>
      </c>
      <c r="K38" s="28" t="s">
        <v>34</v>
      </c>
      <c r="L38" s="35"/>
    </row>
    <row r="39" ht="15.75" customHeight="1">
      <c r="B39" s="36"/>
      <c r="C39" s="35"/>
      <c r="D39" s="35"/>
      <c r="E39" s="35"/>
      <c r="F39" s="35"/>
      <c r="G39" s="30"/>
      <c r="H39" s="35"/>
      <c r="I39" s="35"/>
      <c r="J39" s="30" t="str">
        <f t="shared" si="1"/>
        <v/>
      </c>
      <c r="K39" s="35"/>
      <c r="L39" s="35"/>
    </row>
    <row r="40" ht="15.75" customHeight="1">
      <c r="B40" s="36"/>
      <c r="C40" s="35"/>
      <c r="D40" s="35"/>
      <c r="E40" s="35"/>
      <c r="F40" s="35"/>
      <c r="G40" s="30"/>
      <c r="H40" s="35"/>
      <c r="I40" s="35"/>
      <c r="J40" s="30" t="str">
        <f t="shared" si="1"/>
        <v/>
      </c>
      <c r="K40" s="35"/>
      <c r="L40" s="35"/>
    </row>
    <row r="41" ht="15.75" customHeight="1">
      <c r="B41" s="36"/>
      <c r="C41" s="35"/>
      <c r="D41" s="35"/>
      <c r="E41" s="35"/>
      <c r="F41" s="35"/>
      <c r="G41" s="30"/>
      <c r="H41" s="37" t="s">
        <v>83</v>
      </c>
      <c r="I41" s="38"/>
      <c r="J41" s="39"/>
      <c r="K41" s="35"/>
      <c r="L41" s="35"/>
    </row>
    <row r="42" ht="34.5" customHeight="1">
      <c r="B42" s="36"/>
      <c r="C42" s="35"/>
      <c r="D42" s="35"/>
      <c r="E42" s="35"/>
      <c r="F42" s="35"/>
      <c r="G42" s="30"/>
      <c r="H42" s="35" t="str">
        <f t="shared" ref="H42:J42" si="2">"Frustration: "&amp;COUNTIF(H15:H40,"Frustration")</f>
        <v>Frustration: 1</v>
      </c>
      <c r="I42" s="35" t="str">
        <f t="shared" si="2"/>
        <v>Frustration: 4</v>
      </c>
      <c r="J42" s="35" t="str">
        <f t="shared" si="2"/>
        <v>Frustration: 4</v>
      </c>
      <c r="K42" s="35"/>
      <c r="L42" s="35"/>
    </row>
    <row r="43" ht="33.0" customHeight="1">
      <c r="B43" s="36"/>
      <c r="C43" s="35"/>
      <c r="D43" s="35"/>
      <c r="E43" s="35"/>
      <c r="F43" s="35"/>
      <c r="G43" s="30"/>
      <c r="H43" s="35" t="str">
        <f t="shared" ref="H43:J43" si="3">"Instructional: "&amp;COUNTIF(H15:H40,"Instructional")</f>
        <v>Instructional: 0</v>
      </c>
      <c r="I43" s="35" t="str">
        <f t="shared" si="3"/>
        <v>Instructional: 16</v>
      </c>
      <c r="J43" s="35" t="str">
        <f t="shared" si="3"/>
        <v>Instructional: 16</v>
      </c>
      <c r="K43" s="35"/>
      <c r="L43" s="35"/>
    </row>
    <row r="44" ht="37.5" customHeight="1">
      <c r="B44" s="36"/>
      <c r="C44" s="35"/>
      <c r="D44" s="35"/>
      <c r="E44" s="35"/>
      <c r="F44" s="35"/>
      <c r="G44" s="30"/>
      <c r="H44" s="35" t="str">
        <f t="shared" ref="H44:J44" si="4">"Independent: "&amp;COUNTIF(H15:H40,"Independent")</f>
        <v>Independent: 23</v>
      </c>
      <c r="I44" s="35" t="str">
        <f t="shared" si="4"/>
        <v>Independent: 4</v>
      </c>
      <c r="J44" s="35" t="str">
        <f t="shared" si="4"/>
        <v>Independent: 4</v>
      </c>
      <c r="K44" s="35"/>
      <c r="L44" s="3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21">
    <mergeCell ref="B1:L1"/>
    <mergeCell ref="B2:L2"/>
    <mergeCell ref="B3:L3"/>
    <mergeCell ref="B4:L4"/>
    <mergeCell ref="B5:L5"/>
    <mergeCell ref="B6:L6"/>
    <mergeCell ref="B7:L7"/>
    <mergeCell ref="K10:K14"/>
    <mergeCell ref="L10:L14"/>
    <mergeCell ref="H11:J11"/>
    <mergeCell ref="H12:J12"/>
    <mergeCell ref="H13:H14"/>
    <mergeCell ref="J13:J14"/>
    <mergeCell ref="H41:J41"/>
    <mergeCell ref="B8:L8"/>
    <mergeCell ref="B9:L9"/>
    <mergeCell ref="B10:B14"/>
    <mergeCell ref="C10:C14"/>
    <mergeCell ref="F10:F14"/>
    <mergeCell ref="G10:G14"/>
    <mergeCell ref="H10:J1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1.78"/>
    <col customWidth="1" min="3" max="3" width="16.0"/>
    <col customWidth="1" min="4" max="4" width="21.78"/>
    <col customWidth="1" min="5" max="5" width="16.67"/>
    <col customWidth="1" min="6" max="6" width="24.11"/>
    <col customWidth="1" min="7" max="7" width="15.78"/>
    <col customWidth="1" min="8" max="8" width="17.78"/>
    <col customWidth="1" min="9" max="9" width="17.44"/>
    <col customWidth="1" min="10" max="10" width="17.67"/>
    <col customWidth="1" min="11" max="11" width="13.11"/>
    <col customWidth="1" min="12" max="12" width="19.78"/>
    <col customWidth="1" min="13" max="26" width="10.56"/>
  </cols>
  <sheetData>
    <row r="1" ht="15.75" customHeight="1">
      <c r="B1" s="1" t="s">
        <v>0</v>
      </c>
    </row>
    <row r="2" ht="15.75" customHeight="1">
      <c r="B2" s="1" t="s">
        <v>1</v>
      </c>
    </row>
    <row r="3" ht="15.75" customHeight="1">
      <c r="B3" s="1" t="s">
        <v>2</v>
      </c>
    </row>
    <row r="4" ht="15.75" customHeight="1">
      <c r="B4" s="1" t="s">
        <v>3</v>
      </c>
    </row>
    <row r="5" ht="15.75" customHeight="1">
      <c r="B5" s="1"/>
    </row>
    <row r="6" ht="15.75" customHeight="1">
      <c r="B6" s="1" t="s">
        <v>4</v>
      </c>
    </row>
    <row r="7" ht="15.75" customHeight="1">
      <c r="B7" s="2" t="s">
        <v>5</v>
      </c>
    </row>
    <row r="8" ht="15.75" customHeight="1">
      <c r="B8" s="1" t="s">
        <v>6</v>
      </c>
    </row>
    <row r="9" ht="15.75" customHeight="1">
      <c r="B9" s="3" t="s">
        <v>8</v>
      </c>
      <c r="C9" s="4"/>
      <c r="D9" s="4"/>
      <c r="E9" s="4"/>
      <c r="F9" s="4"/>
      <c r="G9" s="4"/>
      <c r="H9" s="4"/>
      <c r="I9" s="4"/>
      <c r="J9" s="4"/>
      <c r="K9" s="4"/>
      <c r="L9" s="4"/>
    </row>
    <row r="10" ht="15.75" customHeight="1">
      <c r="B10" s="5" t="s">
        <v>9</v>
      </c>
      <c r="C10" s="5" t="s">
        <v>10</v>
      </c>
      <c r="D10" s="6" t="s">
        <v>11</v>
      </c>
      <c r="E10" s="6" t="s">
        <v>12</v>
      </c>
      <c r="F10" s="5" t="s">
        <v>13</v>
      </c>
      <c r="G10" s="5" t="s">
        <v>14</v>
      </c>
      <c r="H10" s="7"/>
      <c r="I10" s="8"/>
      <c r="J10" s="9"/>
      <c r="K10" s="5" t="s">
        <v>15</v>
      </c>
      <c r="L10" s="5" t="s">
        <v>16</v>
      </c>
    </row>
    <row r="11" ht="15.75" customHeight="1">
      <c r="B11" s="10"/>
      <c r="C11" s="10"/>
      <c r="D11" s="11" t="s">
        <v>17</v>
      </c>
      <c r="E11" s="11" t="s">
        <v>18</v>
      </c>
      <c r="F11" s="10"/>
      <c r="G11" s="10"/>
      <c r="H11" s="12"/>
      <c r="I11" s="13"/>
      <c r="J11" s="14"/>
      <c r="K11" s="10"/>
      <c r="L11" s="10"/>
    </row>
    <row r="12" ht="15.75" customHeight="1">
      <c r="B12" s="10"/>
      <c r="C12" s="10"/>
      <c r="D12" s="15"/>
      <c r="E12" s="15"/>
      <c r="F12" s="10"/>
      <c r="G12" s="10"/>
      <c r="H12" s="16" t="s">
        <v>19</v>
      </c>
      <c r="I12" s="17"/>
      <c r="J12" s="18"/>
      <c r="K12" s="10"/>
      <c r="L12" s="10"/>
    </row>
    <row r="13" ht="15.75" customHeight="1">
      <c r="B13" s="10"/>
      <c r="C13" s="10"/>
      <c r="D13" s="15"/>
      <c r="E13" s="15"/>
      <c r="F13" s="10"/>
      <c r="G13" s="10"/>
      <c r="H13" s="19" t="s">
        <v>20</v>
      </c>
      <c r="I13" s="21" t="s">
        <v>21</v>
      </c>
      <c r="J13" s="19" t="s">
        <v>23</v>
      </c>
      <c r="K13" s="10"/>
      <c r="L13" s="10"/>
    </row>
    <row r="14" ht="15.75" customHeight="1">
      <c r="B14" s="22"/>
      <c r="C14" s="22"/>
      <c r="D14" s="23"/>
      <c r="E14" s="23"/>
      <c r="F14" s="22"/>
      <c r="G14" s="22"/>
      <c r="H14" s="22"/>
      <c r="I14" s="24" t="s">
        <v>24</v>
      </c>
      <c r="J14" s="22"/>
      <c r="K14" s="22"/>
      <c r="L14" s="22"/>
    </row>
    <row r="15" ht="15.75" customHeight="1">
      <c r="B15" s="26" t="s">
        <v>25</v>
      </c>
      <c r="C15" s="27">
        <v>46309.0</v>
      </c>
      <c r="D15" s="28" t="s">
        <v>26</v>
      </c>
      <c r="E15" s="28" t="s">
        <v>28</v>
      </c>
      <c r="F15" s="29" t="s">
        <v>29</v>
      </c>
      <c r="G15" s="30" t="s">
        <v>30</v>
      </c>
      <c r="H15" s="30" t="s">
        <v>31</v>
      </c>
      <c r="I15" s="28" t="s">
        <v>32</v>
      </c>
      <c r="J15" s="30" t="str">
        <f t="shared" ref="J15:J41" si="1">IF(COUNTIF(H15:I15,"&lt;&gt;")=0,"",
IF(COUNTIF(H15:I15,"Frustration")&gt;0,"Frustration",
IF(COUNTIF(H15:I15,"Instructional")&gt;0,"Instructional",
"Independent")))</f>
        <v>Frustration</v>
      </c>
      <c r="K15" s="28" t="s">
        <v>34</v>
      </c>
      <c r="L15" s="31"/>
    </row>
    <row r="16" ht="15.75" customHeight="1">
      <c r="B16" s="32" t="s">
        <v>35</v>
      </c>
      <c r="C16" s="27">
        <v>46311.0</v>
      </c>
      <c r="D16" s="28" t="s">
        <v>36</v>
      </c>
      <c r="E16" s="28" t="s">
        <v>28</v>
      </c>
      <c r="F16" s="29" t="s">
        <v>29</v>
      </c>
      <c r="G16" s="30" t="s">
        <v>30</v>
      </c>
      <c r="H16" s="30" t="s">
        <v>31</v>
      </c>
      <c r="I16" s="28" t="s">
        <v>33</v>
      </c>
      <c r="J16" s="30" t="str">
        <f t="shared" si="1"/>
        <v>Instructional</v>
      </c>
      <c r="K16" s="28" t="s">
        <v>34</v>
      </c>
      <c r="L16" s="31"/>
    </row>
    <row r="17" ht="15.75" customHeight="1">
      <c r="B17" s="26" t="s">
        <v>38</v>
      </c>
      <c r="C17" s="27">
        <v>46307.0</v>
      </c>
      <c r="D17" s="28" t="s">
        <v>39</v>
      </c>
      <c r="E17" s="28" t="s">
        <v>28</v>
      </c>
      <c r="F17" s="29" t="s">
        <v>29</v>
      </c>
      <c r="G17" s="30" t="s">
        <v>30</v>
      </c>
      <c r="H17" s="30" t="s">
        <v>31</v>
      </c>
      <c r="I17" s="30" t="s">
        <v>32</v>
      </c>
      <c r="J17" s="30" t="str">
        <f t="shared" si="1"/>
        <v>Frustration</v>
      </c>
      <c r="K17" s="28" t="s">
        <v>34</v>
      </c>
      <c r="L17" s="31"/>
    </row>
    <row r="18" ht="15.75" customHeight="1">
      <c r="B18" s="32" t="s">
        <v>40</v>
      </c>
      <c r="C18" s="27">
        <v>46311.0</v>
      </c>
      <c r="D18" s="28" t="s">
        <v>41</v>
      </c>
      <c r="E18" s="28" t="s">
        <v>28</v>
      </c>
      <c r="F18" s="29" t="s">
        <v>29</v>
      </c>
      <c r="G18" s="30" t="s">
        <v>30</v>
      </c>
      <c r="H18" s="30" t="s">
        <v>31</v>
      </c>
      <c r="I18" s="28" t="s">
        <v>33</v>
      </c>
      <c r="J18" s="30" t="str">
        <f t="shared" si="1"/>
        <v>Instructional</v>
      </c>
      <c r="K18" s="28" t="s">
        <v>34</v>
      </c>
      <c r="L18" s="31"/>
    </row>
    <row r="19" ht="15.75" customHeight="1">
      <c r="B19" s="26" t="s">
        <v>43</v>
      </c>
      <c r="C19" s="27">
        <v>46309.0</v>
      </c>
      <c r="D19" s="28" t="s">
        <v>39</v>
      </c>
      <c r="E19" s="28" t="s">
        <v>28</v>
      </c>
      <c r="F19" s="29" t="s">
        <v>29</v>
      </c>
      <c r="G19" s="30" t="s">
        <v>30</v>
      </c>
      <c r="H19" s="30" t="s">
        <v>31</v>
      </c>
      <c r="I19" s="28" t="s">
        <v>31</v>
      </c>
      <c r="J19" s="30" t="str">
        <f t="shared" si="1"/>
        <v>Independent</v>
      </c>
      <c r="K19" s="28" t="s">
        <v>34</v>
      </c>
      <c r="L19" s="31"/>
    </row>
    <row r="20" ht="15.75" customHeight="1">
      <c r="B20" s="26" t="s">
        <v>44</v>
      </c>
      <c r="C20" s="27">
        <v>46307.0</v>
      </c>
      <c r="D20" s="28" t="s">
        <v>45</v>
      </c>
      <c r="E20" s="28" t="s">
        <v>28</v>
      </c>
      <c r="F20" s="29" t="s">
        <v>29</v>
      </c>
      <c r="G20" s="30" t="s">
        <v>30</v>
      </c>
      <c r="H20" s="30" t="s">
        <v>31</v>
      </c>
      <c r="I20" s="30" t="s">
        <v>32</v>
      </c>
      <c r="J20" s="30" t="str">
        <f t="shared" si="1"/>
        <v>Frustration</v>
      </c>
      <c r="K20" s="28" t="s">
        <v>34</v>
      </c>
      <c r="L20" s="31"/>
    </row>
    <row r="21" ht="15.75" customHeight="1">
      <c r="B21" s="32" t="s">
        <v>46</v>
      </c>
      <c r="C21" s="27">
        <v>46310.0</v>
      </c>
      <c r="D21" s="28" t="s">
        <v>47</v>
      </c>
      <c r="E21" s="28" t="s">
        <v>28</v>
      </c>
      <c r="F21" s="29" t="s">
        <v>29</v>
      </c>
      <c r="G21" s="28" t="s">
        <v>30</v>
      </c>
      <c r="H21" s="28" t="s">
        <v>32</v>
      </c>
      <c r="I21" s="28" t="s">
        <v>32</v>
      </c>
      <c r="J21" s="30" t="str">
        <f t="shared" si="1"/>
        <v>Frustration</v>
      </c>
      <c r="K21" s="28" t="s">
        <v>34</v>
      </c>
      <c r="L21" s="31"/>
    </row>
    <row r="22" ht="15.75" customHeight="1">
      <c r="B22" s="33" t="s">
        <v>49</v>
      </c>
      <c r="C22" s="27">
        <v>46308.0</v>
      </c>
      <c r="D22" s="28" t="s">
        <v>51</v>
      </c>
      <c r="E22" s="28" t="s">
        <v>28</v>
      </c>
      <c r="F22" s="29" t="s">
        <v>29</v>
      </c>
      <c r="G22" s="30" t="s">
        <v>30</v>
      </c>
      <c r="H22" s="30" t="s">
        <v>31</v>
      </c>
      <c r="I22" s="30" t="s">
        <v>32</v>
      </c>
      <c r="J22" s="30" t="str">
        <f t="shared" si="1"/>
        <v>Frustration</v>
      </c>
      <c r="K22" s="28" t="s">
        <v>34</v>
      </c>
      <c r="L22" s="31"/>
    </row>
    <row r="23" ht="15.75" customHeight="1">
      <c r="B23" s="32" t="s">
        <v>52</v>
      </c>
      <c r="C23" s="27">
        <v>46311.0</v>
      </c>
      <c r="D23" s="28" t="s">
        <v>53</v>
      </c>
      <c r="E23" s="28" t="s">
        <v>28</v>
      </c>
      <c r="F23" s="29" t="s">
        <v>29</v>
      </c>
      <c r="G23" s="30" t="s">
        <v>30</v>
      </c>
      <c r="H23" s="30" t="s">
        <v>31</v>
      </c>
      <c r="I23" s="28" t="s">
        <v>31</v>
      </c>
      <c r="J23" s="30" t="str">
        <f t="shared" si="1"/>
        <v>Independent</v>
      </c>
      <c r="K23" s="28" t="s">
        <v>34</v>
      </c>
      <c r="L23" s="31"/>
    </row>
    <row r="24" ht="15.75" customHeight="1">
      <c r="B24" s="26" t="s">
        <v>55</v>
      </c>
      <c r="C24" s="27">
        <v>46309.0</v>
      </c>
      <c r="D24" s="28" t="s">
        <v>45</v>
      </c>
      <c r="E24" s="28" t="s">
        <v>28</v>
      </c>
      <c r="F24" s="29" t="s">
        <v>29</v>
      </c>
      <c r="G24" s="30" t="s">
        <v>30</v>
      </c>
      <c r="H24" s="30" t="s">
        <v>31</v>
      </c>
      <c r="I24" s="28" t="s">
        <v>32</v>
      </c>
      <c r="J24" s="30" t="str">
        <f t="shared" si="1"/>
        <v>Frustration</v>
      </c>
      <c r="K24" s="28" t="s">
        <v>34</v>
      </c>
      <c r="L24" s="31"/>
    </row>
    <row r="25" ht="15.75" customHeight="1">
      <c r="B25" s="33" t="s">
        <v>56</v>
      </c>
      <c r="C25" s="27">
        <v>46308.0</v>
      </c>
      <c r="D25" s="28" t="s">
        <v>26</v>
      </c>
      <c r="E25" s="28" t="s">
        <v>28</v>
      </c>
      <c r="F25" s="29" t="s">
        <v>29</v>
      </c>
      <c r="G25" s="30" t="s">
        <v>30</v>
      </c>
      <c r="H25" s="30" t="s">
        <v>31</v>
      </c>
      <c r="I25" s="30" t="s">
        <v>33</v>
      </c>
      <c r="J25" s="30" t="str">
        <f t="shared" si="1"/>
        <v>Instructional</v>
      </c>
      <c r="K25" s="28" t="s">
        <v>34</v>
      </c>
      <c r="L25" s="31"/>
    </row>
    <row r="26" ht="15.75" customHeight="1">
      <c r="B26" s="33" t="s">
        <v>57</v>
      </c>
      <c r="C26" s="27">
        <v>46308.0</v>
      </c>
      <c r="D26" s="28" t="s">
        <v>45</v>
      </c>
      <c r="E26" s="28" t="s">
        <v>28</v>
      </c>
      <c r="F26" s="29" t="s">
        <v>29</v>
      </c>
      <c r="G26" s="30" t="s">
        <v>30</v>
      </c>
      <c r="H26" s="30" t="s">
        <v>31</v>
      </c>
      <c r="I26" s="30" t="s">
        <v>32</v>
      </c>
      <c r="J26" s="30" t="str">
        <f t="shared" si="1"/>
        <v>Frustration</v>
      </c>
      <c r="K26" s="28" t="s">
        <v>34</v>
      </c>
      <c r="L26" s="31"/>
    </row>
    <row r="27" ht="15.75" customHeight="1">
      <c r="B27" s="26" t="s">
        <v>58</v>
      </c>
      <c r="C27" s="27">
        <v>46310.0</v>
      </c>
      <c r="D27" s="28" t="s">
        <v>45</v>
      </c>
      <c r="E27" s="28" t="s">
        <v>28</v>
      </c>
      <c r="F27" s="29" t="s">
        <v>29</v>
      </c>
      <c r="G27" s="30" t="s">
        <v>30</v>
      </c>
      <c r="H27" s="30" t="s">
        <v>31</v>
      </c>
      <c r="I27" s="28" t="s">
        <v>33</v>
      </c>
      <c r="J27" s="30" t="str">
        <f t="shared" si="1"/>
        <v>Instructional</v>
      </c>
      <c r="K27" s="28" t="s">
        <v>34</v>
      </c>
      <c r="L27" s="31"/>
    </row>
    <row r="28" ht="15.75" customHeight="1">
      <c r="B28" s="32" t="s">
        <v>59</v>
      </c>
      <c r="C28" s="27">
        <v>46311.0</v>
      </c>
      <c r="D28" s="28" t="s">
        <v>60</v>
      </c>
      <c r="E28" s="28" t="s">
        <v>28</v>
      </c>
      <c r="F28" s="29" t="s">
        <v>29</v>
      </c>
      <c r="G28" s="30" t="s">
        <v>30</v>
      </c>
      <c r="H28" s="30" t="s">
        <v>31</v>
      </c>
      <c r="I28" s="28" t="s">
        <v>33</v>
      </c>
      <c r="J28" s="30" t="str">
        <f t="shared" si="1"/>
        <v>Instructional</v>
      </c>
      <c r="K28" s="28" t="s">
        <v>34</v>
      </c>
      <c r="L28" s="31"/>
    </row>
    <row r="29" ht="15.75" customHeight="1">
      <c r="B29" s="26" t="s">
        <v>62</v>
      </c>
      <c r="C29" s="27">
        <v>46309.0</v>
      </c>
      <c r="D29" s="28" t="s">
        <v>51</v>
      </c>
      <c r="E29" s="28" t="s">
        <v>28</v>
      </c>
      <c r="F29" s="29" t="s">
        <v>29</v>
      </c>
      <c r="G29" s="30" t="s">
        <v>30</v>
      </c>
      <c r="H29" s="30" t="s">
        <v>31</v>
      </c>
      <c r="I29" s="28" t="s">
        <v>32</v>
      </c>
      <c r="J29" s="30" t="str">
        <f t="shared" si="1"/>
        <v>Frustration</v>
      </c>
      <c r="K29" s="28" t="s">
        <v>34</v>
      </c>
      <c r="L29" s="31"/>
    </row>
    <row r="30" ht="15.75" customHeight="1">
      <c r="B30" s="34" t="s">
        <v>63</v>
      </c>
      <c r="C30" s="27">
        <v>46311.0</v>
      </c>
      <c r="D30" s="28" t="s">
        <v>64</v>
      </c>
      <c r="E30" s="28" t="s">
        <v>28</v>
      </c>
      <c r="F30" s="29" t="s">
        <v>29</v>
      </c>
      <c r="G30" s="30" t="s">
        <v>30</v>
      </c>
      <c r="H30" s="30" t="s">
        <v>31</v>
      </c>
      <c r="I30" s="28" t="s">
        <v>31</v>
      </c>
      <c r="J30" s="30" t="str">
        <f t="shared" si="1"/>
        <v>Independent</v>
      </c>
      <c r="K30" s="28" t="s">
        <v>34</v>
      </c>
      <c r="L30" s="31"/>
    </row>
    <row r="31" ht="15.75" customHeight="1">
      <c r="B31" s="26" t="s">
        <v>66</v>
      </c>
      <c r="C31" s="27">
        <v>46307.0</v>
      </c>
      <c r="D31" s="28" t="s">
        <v>26</v>
      </c>
      <c r="E31" s="28" t="s">
        <v>28</v>
      </c>
      <c r="F31" s="29" t="s">
        <v>29</v>
      </c>
      <c r="G31" s="30" t="s">
        <v>30</v>
      </c>
      <c r="H31" s="30" t="s">
        <v>31</v>
      </c>
      <c r="I31" s="28" t="s">
        <v>33</v>
      </c>
      <c r="J31" s="30" t="str">
        <f t="shared" si="1"/>
        <v>Instructional</v>
      </c>
      <c r="K31" s="28" t="s">
        <v>34</v>
      </c>
      <c r="L31" s="31"/>
    </row>
    <row r="32" ht="15.75" customHeight="1">
      <c r="B32" s="26" t="s">
        <v>67</v>
      </c>
      <c r="C32" s="27">
        <v>46307.0</v>
      </c>
      <c r="D32" s="28" t="s">
        <v>51</v>
      </c>
      <c r="E32" s="28" t="s">
        <v>28</v>
      </c>
      <c r="F32" s="29" t="s">
        <v>29</v>
      </c>
      <c r="G32" s="30" t="s">
        <v>30</v>
      </c>
      <c r="H32" s="30" t="s">
        <v>31</v>
      </c>
      <c r="I32" s="30" t="s">
        <v>32</v>
      </c>
      <c r="J32" s="30" t="str">
        <f t="shared" si="1"/>
        <v>Frustration</v>
      </c>
      <c r="K32" s="28" t="s">
        <v>34</v>
      </c>
      <c r="L32" s="35"/>
    </row>
    <row r="33" ht="15.75" customHeight="1">
      <c r="B33" s="33" t="s">
        <v>69</v>
      </c>
      <c r="C33" s="27">
        <v>46308.0</v>
      </c>
      <c r="D33" s="28" t="s">
        <v>70</v>
      </c>
      <c r="E33" s="28" t="s">
        <v>28</v>
      </c>
      <c r="F33" s="29" t="s">
        <v>29</v>
      </c>
      <c r="G33" s="30" t="s">
        <v>30</v>
      </c>
      <c r="H33" s="30" t="s">
        <v>31</v>
      </c>
      <c r="I33" s="30" t="s">
        <v>33</v>
      </c>
      <c r="J33" s="30" t="str">
        <f t="shared" si="1"/>
        <v>Instructional</v>
      </c>
      <c r="K33" s="28" t="s">
        <v>34</v>
      </c>
      <c r="L33" s="35"/>
    </row>
    <row r="34" ht="15.75" customHeight="1">
      <c r="B34" s="33" t="s">
        <v>71</v>
      </c>
      <c r="C34" s="27">
        <v>46308.0</v>
      </c>
      <c r="D34" s="28" t="s">
        <v>72</v>
      </c>
      <c r="E34" s="28" t="s">
        <v>28</v>
      </c>
      <c r="F34" s="29" t="s">
        <v>29</v>
      </c>
      <c r="G34" s="30" t="s">
        <v>30</v>
      </c>
      <c r="H34" s="30" t="s">
        <v>31</v>
      </c>
      <c r="I34" s="30" t="s">
        <v>33</v>
      </c>
      <c r="J34" s="30" t="str">
        <f t="shared" si="1"/>
        <v>Instructional</v>
      </c>
      <c r="K34" s="28" t="s">
        <v>34</v>
      </c>
      <c r="L34" s="35"/>
    </row>
    <row r="35" ht="15.75" customHeight="1">
      <c r="B35" s="26" t="s">
        <v>74</v>
      </c>
      <c r="C35" s="27">
        <v>46309.0</v>
      </c>
      <c r="D35" s="28" t="s">
        <v>72</v>
      </c>
      <c r="E35" s="28" t="s">
        <v>28</v>
      </c>
      <c r="F35" s="29" t="s">
        <v>29</v>
      </c>
      <c r="G35" s="30" t="s">
        <v>30</v>
      </c>
      <c r="H35" s="30" t="s">
        <v>31</v>
      </c>
      <c r="I35" s="28" t="s">
        <v>33</v>
      </c>
      <c r="J35" s="30" t="str">
        <f t="shared" si="1"/>
        <v>Instructional</v>
      </c>
      <c r="K35" s="28" t="s">
        <v>34</v>
      </c>
      <c r="L35" s="35"/>
    </row>
    <row r="36" ht="15.75" customHeight="1">
      <c r="B36" s="32" t="s">
        <v>76</v>
      </c>
      <c r="C36" s="27">
        <v>46310.0</v>
      </c>
      <c r="D36" s="28" t="s">
        <v>77</v>
      </c>
      <c r="E36" s="28" t="s">
        <v>28</v>
      </c>
      <c r="F36" s="29" t="s">
        <v>29</v>
      </c>
      <c r="G36" s="28" t="s">
        <v>30</v>
      </c>
      <c r="H36" s="28" t="s">
        <v>31</v>
      </c>
      <c r="I36" s="28" t="s">
        <v>33</v>
      </c>
      <c r="J36" s="30" t="str">
        <f t="shared" si="1"/>
        <v>Instructional</v>
      </c>
      <c r="K36" s="28" t="s">
        <v>34</v>
      </c>
      <c r="L36" s="35"/>
    </row>
    <row r="37" ht="15.75" customHeight="1">
      <c r="B37" s="26" t="s">
        <v>79</v>
      </c>
      <c r="C37" s="27">
        <v>46307.0</v>
      </c>
      <c r="D37" s="28" t="s">
        <v>72</v>
      </c>
      <c r="E37" s="28" t="s">
        <v>28</v>
      </c>
      <c r="F37" s="29" t="s">
        <v>29</v>
      </c>
      <c r="G37" s="30" t="s">
        <v>30</v>
      </c>
      <c r="H37" s="30" t="s">
        <v>31</v>
      </c>
      <c r="I37" s="30" t="s">
        <v>32</v>
      </c>
      <c r="J37" s="30" t="str">
        <f t="shared" si="1"/>
        <v>Frustration</v>
      </c>
      <c r="K37" s="28" t="s">
        <v>34</v>
      </c>
      <c r="L37" s="35"/>
    </row>
    <row r="38" ht="15.75" customHeight="1">
      <c r="B38" s="32" t="s">
        <v>80</v>
      </c>
      <c r="C38" s="27">
        <v>46311.0</v>
      </c>
      <c r="D38" s="28" t="s">
        <v>81</v>
      </c>
      <c r="E38" s="28" t="s">
        <v>28</v>
      </c>
      <c r="F38" s="29" t="s">
        <v>29</v>
      </c>
      <c r="G38" s="30" t="s">
        <v>30</v>
      </c>
      <c r="H38" s="30" t="s">
        <v>31</v>
      </c>
      <c r="I38" s="28" t="s">
        <v>31</v>
      </c>
      <c r="J38" s="30" t="str">
        <f t="shared" si="1"/>
        <v>Independent</v>
      </c>
      <c r="K38" s="28" t="s">
        <v>34</v>
      </c>
      <c r="L38" s="35"/>
    </row>
    <row r="39" ht="15.75" customHeight="1">
      <c r="B39" s="36"/>
      <c r="C39" s="35"/>
      <c r="D39" s="35"/>
      <c r="E39" s="35"/>
      <c r="F39" s="35"/>
      <c r="G39" s="30"/>
      <c r="H39" s="35"/>
      <c r="I39" s="35"/>
      <c r="J39" s="30" t="str">
        <f t="shared" si="1"/>
        <v/>
      </c>
      <c r="K39" s="35"/>
      <c r="L39" s="35"/>
    </row>
    <row r="40" ht="15.75" customHeight="1">
      <c r="B40" s="36"/>
      <c r="C40" s="35"/>
      <c r="D40" s="35"/>
      <c r="E40" s="35"/>
      <c r="F40" s="35"/>
      <c r="G40" s="30"/>
      <c r="H40" s="35"/>
      <c r="I40" s="35"/>
      <c r="J40" s="30" t="str">
        <f t="shared" si="1"/>
        <v/>
      </c>
      <c r="K40" s="35"/>
      <c r="L40" s="35"/>
    </row>
    <row r="41" ht="15.75" customHeight="1">
      <c r="B41" s="36"/>
      <c r="C41" s="35"/>
      <c r="D41" s="35"/>
      <c r="E41" s="35"/>
      <c r="F41" s="35"/>
      <c r="G41" s="30"/>
      <c r="H41" s="35"/>
      <c r="I41" s="35"/>
      <c r="J41" s="30" t="str">
        <f t="shared" si="1"/>
        <v/>
      </c>
      <c r="K41" s="35"/>
      <c r="L41" s="35"/>
    </row>
    <row r="42" ht="15.75" customHeight="1">
      <c r="B42" s="36"/>
      <c r="C42" s="35"/>
      <c r="D42" s="35"/>
      <c r="E42" s="35"/>
      <c r="F42" s="35"/>
      <c r="G42" s="30"/>
      <c r="H42" s="37" t="s">
        <v>83</v>
      </c>
      <c r="I42" s="38"/>
      <c r="J42" s="39"/>
      <c r="K42" s="35"/>
      <c r="L42" s="35"/>
    </row>
    <row r="43" ht="34.5" customHeight="1">
      <c r="B43" s="36"/>
      <c r="C43" s="35"/>
      <c r="D43" s="35"/>
      <c r="E43" s="35"/>
      <c r="F43" s="35"/>
      <c r="G43" s="30"/>
      <c r="H43" s="35" t="str">
        <f t="shared" ref="H43:J43" si="2">"Frustration: "&amp;COUNTIF(H15:H41,"Frustration")</f>
        <v>Frustration: 1</v>
      </c>
      <c r="I43" s="35" t="str">
        <f t="shared" si="2"/>
        <v>Frustration: 10</v>
      </c>
      <c r="J43" s="35" t="str">
        <f t="shared" si="2"/>
        <v>Frustration: 10</v>
      </c>
      <c r="K43" s="35"/>
      <c r="L43" s="35"/>
    </row>
    <row r="44" ht="33.0" customHeight="1">
      <c r="B44" s="36"/>
      <c r="C44" s="35"/>
      <c r="D44" s="35"/>
      <c r="E44" s="35"/>
      <c r="F44" s="35"/>
      <c r="G44" s="30"/>
      <c r="H44" s="35" t="str">
        <f t="shared" ref="H44:J44" si="3">"Instructional: "&amp;COUNTIF(H15:H41,"Instructional")</f>
        <v>Instructional: 0</v>
      </c>
      <c r="I44" s="35" t="str">
        <f t="shared" si="3"/>
        <v>Instructional: 10</v>
      </c>
      <c r="J44" s="35" t="str">
        <f t="shared" si="3"/>
        <v>Instructional: 10</v>
      </c>
      <c r="K44" s="35"/>
      <c r="L44" s="35"/>
    </row>
    <row r="45" ht="37.5" customHeight="1">
      <c r="B45" s="36"/>
      <c r="C45" s="35"/>
      <c r="D45" s="35"/>
      <c r="E45" s="35"/>
      <c r="F45" s="35"/>
      <c r="G45" s="30"/>
      <c r="H45" s="35" t="str">
        <f t="shared" ref="H45:J45" si="4">"Independent: "&amp;COUNTIF(H15:H41,"Independent")</f>
        <v>Independent: 23</v>
      </c>
      <c r="I45" s="35" t="str">
        <f t="shared" si="4"/>
        <v>Independent: 4</v>
      </c>
      <c r="J45" s="35" t="str">
        <f t="shared" si="4"/>
        <v>Independent: 4</v>
      </c>
      <c r="K45" s="35"/>
      <c r="L45" s="35"/>
    </row>
    <row r="46" ht="15.75" customHeight="1"/>
    <row r="47" ht="15.75" customHeight="1"/>
    <row r="48" ht="15.75" customHeight="1">
      <c r="B48" s="40" t="s">
        <v>84</v>
      </c>
      <c r="F48" s="40"/>
      <c r="G48" s="41"/>
      <c r="H48" s="42"/>
      <c r="K48" s="42" t="s">
        <v>85</v>
      </c>
    </row>
    <row r="49" ht="15.75" customHeight="1">
      <c r="B49" s="43" t="s">
        <v>86</v>
      </c>
      <c r="C49" s="44"/>
      <c r="D49" s="44"/>
      <c r="E49" s="45"/>
      <c r="F49" s="41"/>
      <c r="G49" s="41"/>
      <c r="H49" s="46"/>
      <c r="I49" s="47"/>
      <c r="K49" s="46"/>
      <c r="L49" s="47" t="s">
        <v>87</v>
      </c>
    </row>
    <row r="50" ht="15.75" customHeight="1">
      <c r="B50" s="48" t="s">
        <v>29</v>
      </c>
      <c r="E50" s="45"/>
      <c r="F50" s="41"/>
      <c r="G50" s="41"/>
      <c r="H50" s="46"/>
      <c r="I50" s="49"/>
      <c r="K50" s="46"/>
      <c r="L50" s="49" t="s">
        <v>88</v>
      </c>
    </row>
    <row r="51" ht="15.75" customHeight="1">
      <c r="B51" s="45"/>
      <c r="C51" s="45"/>
      <c r="D51" s="45"/>
      <c r="E51" s="45"/>
      <c r="F51" s="41"/>
      <c r="G51" s="41"/>
      <c r="H51" s="46"/>
      <c r="I51" s="46"/>
      <c r="K51" s="46"/>
      <c r="L51" s="46"/>
    </row>
    <row r="52" ht="15.75" customHeight="1">
      <c r="B52" s="43" t="s">
        <v>89</v>
      </c>
      <c r="C52" s="44"/>
      <c r="D52" s="44"/>
      <c r="E52" s="45"/>
      <c r="F52" s="41"/>
      <c r="G52" s="41"/>
      <c r="H52" s="50"/>
      <c r="K52" s="50" t="s">
        <v>90</v>
      </c>
    </row>
    <row r="53" ht="15.75" customHeight="1">
      <c r="B53" s="48" t="s">
        <v>29</v>
      </c>
      <c r="E53" s="45"/>
      <c r="F53" s="41"/>
      <c r="G53" s="41"/>
      <c r="H53" s="46"/>
      <c r="I53" s="47"/>
      <c r="K53" s="46"/>
      <c r="L53" s="47" t="s">
        <v>91</v>
      </c>
    </row>
    <row r="54" ht="15.75" customHeight="1">
      <c r="C54" s="46"/>
      <c r="D54" s="41"/>
      <c r="E54" s="41"/>
      <c r="F54" s="41"/>
      <c r="G54" s="41"/>
      <c r="H54" s="46"/>
      <c r="I54" s="49"/>
      <c r="K54" s="46"/>
      <c r="L54" s="49" t="s">
        <v>92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30">
    <mergeCell ref="B1:L1"/>
    <mergeCell ref="B2:L2"/>
    <mergeCell ref="B3:L3"/>
    <mergeCell ref="B4:L4"/>
    <mergeCell ref="B5:L5"/>
    <mergeCell ref="B6:L6"/>
    <mergeCell ref="B7:L7"/>
    <mergeCell ref="K10:K14"/>
    <mergeCell ref="L10:L14"/>
    <mergeCell ref="H11:J11"/>
    <mergeCell ref="H12:J12"/>
    <mergeCell ref="B8:L8"/>
    <mergeCell ref="B9:L9"/>
    <mergeCell ref="B10:B14"/>
    <mergeCell ref="C10:C14"/>
    <mergeCell ref="F10:F14"/>
    <mergeCell ref="G10:G14"/>
    <mergeCell ref="H10:J10"/>
    <mergeCell ref="H52:I52"/>
    <mergeCell ref="K52:L52"/>
    <mergeCell ref="K48:L48"/>
    <mergeCell ref="B48:E48"/>
    <mergeCell ref="B49:D49"/>
    <mergeCell ref="B50:D50"/>
    <mergeCell ref="B52:D52"/>
    <mergeCell ref="B53:D53"/>
    <mergeCell ref="H13:H14"/>
    <mergeCell ref="J13:J14"/>
    <mergeCell ref="H42:J42"/>
    <mergeCell ref="H48:I4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2026-06-08T06:47:34Z</dcterms:created>
  <dc:creator>DIN SHANE DOMINIC MAGALLANES</dc:creator>
</cp:coreProperties>
</file>